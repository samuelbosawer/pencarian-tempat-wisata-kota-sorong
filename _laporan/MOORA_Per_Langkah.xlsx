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Web Developer\2025\16 pencarian-tempat-wisata-kota-sorong\_laporan\"/>
    </mc:Choice>
  </mc:AlternateContent>
  <xr:revisionPtr revIDLastSave="0" documentId="13_ncr:1_{CDA423C2-343D-4652-B884-598B1CDBD8E8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MOORA_Calculation" sheetId="1" r:id="rId1"/>
  </sheets>
  <calcPr calcId="191029"/>
</workbook>
</file>

<file path=xl/calcChain.xml><?xml version="1.0" encoding="utf-8"?>
<calcChain xmlns="http://schemas.openxmlformats.org/spreadsheetml/2006/main">
  <c r="B33" i="1" l="1"/>
  <c r="B37" i="1"/>
  <c r="G21" i="1"/>
  <c r="K21" i="1"/>
  <c r="K20" i="1"/>
  <c r="C14" i="1"/>
  <c r="C15" i="1"/>
  <c r="C16" i="1"/>
  <c r="C17" i="1"/>
  <c r="B13" i="1"/>
  <c r="G14" i="1"/>
  <c r="G15" i="1"/>
  <c r="G16" i="1"/>
  <c r="G17" i="1"/>
  <c r="G13" i="1"/>
  <c r="F14" i="1"/>
  <c r="F15" i="1"/>
  <c r="F16" i="1"/>
  <c r="F17" i="1"/>
  <c r="F13" i="1"/>
  <c r="E14" i="1"/>
  <c r="E15" i="1"/>
  <c r="E16" i="1"/>
  <c r="E17" i="1"/>
  <c r="E13" i="1"/>
  <c r="D14" i="1"/>
  <c r="D15" i="1"/>
  <c r="D16" i="1"/>
  <c r="D17" i="1"/>
  <c r="D13" i="1"/>
  <c r="C13" i="1"/>
  <c r="B14" i="1"/>
  <c r="B15" i="1"/>
  <c r="B16" i="1"/>
  <c r="B17" i="1"/>
  <c r="D19" i="1" l="1"/>
  <c r="D21" i="1" s="1"/>
  <c r="F19" i="1"/>
  <c r="F21" i="1" s="1"/>
  <c r="E19" i="1"/>
  <c r="E21" i="1" s="1"/>
  <c r="M15" i="1" s="1"/>
  <c r="M22" i="1" s="1"/>
  <c r="E39" i="1" s="1"/>
  <c r="E47" i="1" s="1"/>
  <c r="C19" i="1"/>
  <c r="C21" i="1" s="1"/>
  <c r="M16" i="1" l="1"/>
  <c r="M23" i="1" s="1"/>
  <c r="E40" i="1" s="1"/>
  <c r="E48" i="1" s="1"/>
  <c r="M17" i="1"/>
  <c r="M24" i="1" s="1"/>
  <c r="E41" i="1" s="1"/>
  <c r="E49" i="1" s="1"/>
  <c r="L15" i="1"/>
  <c r="L22" i="1" s="1"/>
  <c r="D39" i="1" s="1"/>
  <c r="D47" i="1" s="1"/>
  <c r="L16" i="1"/>
  <c r="L23" i="1" s="1"/>
  <c r="D40" i="1" s="1"/>
  <c r="D48" i="1" s="1"/>
  <c r="L13" i="1"/>
  <c r="L20" i="1" s="1"/>
  <c r="D37" i="1" s="1"/>
  <c r="D45" i="1" s="1"/>
  <c r="L17" i="1"/>
  <c r="L24" i="1" s="1"/>
  <c r="D41" i="1" s="1"/>
  <c r="D49" i="1" s="1"/>
  <c r="L14" i="1"/>
  <c r="L21" i="1" s="1"/>
  <c r="D38" i="1" s="1"/>
  <c r="D46" i="1" s="1"/>
  <c r="N13" i="1"/>
  <c r="N20" i="1" s="1"/>
  <c r="F37" i="1" s="1"/>
  <c r="F45" i="1" s="1"/>
  <c r="I45" i="1" s="1"/>
  <c r="N14" i="1"/>
  <c r="N21" i="1" s="1"/>
  <c r="F38" i="1" s="1"/>
  <c r="F46" i="1" s="1"/>
  <c r="I46" i="1" s="1"/>
  <c r="N16" i="1"/>
  <c r="N23" i="1" s="1"/>
  <c r="F40" i="1" s="1"/>
  <c r="F48" i="1" s="1"/>
  <c r="I48" i="1" s="1"/>
  <c r="N17" i="1"/>
  <c r="N24" i="1" s="1"/>
  <c r="F41" i="1" s="1"/>
  <c r="F49" i="1" s="1"/>
  <c r="I49" i="1" s="1"/>
  <c r="N15" i="1"/>
  <c r="N22" i="1" s="1"/>
  <c r="F39" i="1" s="1"/>
  <c r="F47" i="1" s="1"/>
  <c r="I47" i="1" s="1"/>
  <c r="K17" i="1"/>
  <c r="K24" i="1" s="1"/>
  <c r="C41" i="1" s="1"/>
  <c r="C49" i="1" s="1"/>
  <c r="K13" i="1"/>
  <c r="C37" i="1" s="1"/>
  <c r="C45" i="1" s="1"/>
  <c r="K14" i="1"/>
  <c r="C38" i="1" s="1"/>
  <c r="C46" i="1" s="1"/>
  <c r="K15" i="1"/>
  <c r="K22" i="1" s="1"/>
  <c r="C39" i="1" s="1"/>
  <c r="C47" i="1" s="1"/>
  <c r="K16" i="1"/>
  <c r="K23" i="1" s="1"/>
  <c r="C40" i="1" s="1"/>
  <c r="C48" i="1" s="1"/>
  <c r="M14" i="1"/>
  <c r="M21" i="1" s="1"/>
  <c r="E38" i="1" s="1"/>
  <c r="E46" i="1" s="1"/>
  <c r="M13" i="1"/>
  <c r="M20" i="1" s="1"/>
  <c r="E37" i="1" s="1"/>
  <c r="E45" i="1" s="1"/>
  <c r="B19" i="1"/>
  <c r="B21" i="1" s="1"/>
  <c r="G19" i="1"/>
  <c r="J13" i="1" l="1"/>
  <c r="J20" i="1" s="1"/>
  <c r="B45" i="1" s="1"/>
  <c r="J15" i="1"/>
  <c r="J22" i="1" s="1"/>
  <c r="B39" i="1" s="1"/>
  <c r="B47" i="1" s="1"/>
  <c r="J14" i="1"/>
  <c r="J21" i="1" s="1"/>
  <c r="B38" i="1" s="1"/>
  <c r="B46" i="1" s="1"/>
  <c r="J16" i="1"/>
  <c r="J23" i="1" s="1"/>
  <c r="B40" i="1" s="1"/>
  <c r="B48" i="1" s="1"/>
  <c r="J17" i="1"/>
  <c r="J24" i="1" s="1"/>
  <c r="B41" i="1" s="1"/>
  <c r="B49" i="1" s="1"/>
  <c r="O14" i="1"/>
  <c r="O21" i="1" s="1"/>
  <c r="G38" i="1" s="1"/>
  <c r="G46" i="1" s="1"/>
  <c r="O15" i="1"/>
  <c r="O22" i="1" s="1"/>
  <c r="G39" i="1" s="1"/>
  <c r="G47" i="1" s="1"/>
  <c r="O13" i="1"/>
  <c r="O20" i="1" s="1"/>
  <c r="G37" i="1" s="1"/>
  <c r="G45" i="1" s="1"/>
  <c r="O16" i="1"/>
  <c r="O23" i="1" s="1"/>
  <c r="G40" i="1" s="1"/>
  <c r="G48" i="1" s="1"/>
  <c r="O17" i="1"/>
  <c r="O24" i="1" s="1"/>
  <c r="G41" i="1" s="1"/>
  <c r="G49" i="1" s="1"/>
  <c r="H48" i="1" l="1"/>
  <c r="J48" i="1" s="1"/>
  <c r="H46" i="1"/>
  <c r="J46" i="1" s="1"/>
  <c r="K46" i="1" s="1"/>
  <c r="H47" i="1"/>
  <c r="J47" i="1" s="1"/>
  <c r="H49" i="1"/>
  <c r="J49" i="1" s="1"/>
  <c r="H45" i="1"/>
  <c r="J45" i="1" s="1"/>
  <c r="K45" i="1" s="1"/>
  <c r="K49" i="1" l="1"/>
  <c r="K47" i="1"/>
  <c r="K48" i="1"/>
</calcChain>
</file>

<file path=xl/sharedStrings.xml><?xml version="1.0" encoding="utf-8"?>
<sst xmlns="http://schemas.openxmlformats.org/spreadsheetml/2006/main" count="96" uniqueCount="29">
  <si>
    <t>Matriks Keputusan (X)</t>
  </si>
  <si>
    <t>Alternatif</t>
  </si>
  <si>
    <t>C1</t>
  </si>
  <si>
    <t>C2</t>
  </si>
  <si>
    <t>C3</t>
  </si>
  <si>
    <t>C4</t>
  </si>
  <si>
    <t>C5</t>
  </si>
  <si>
    <t>C6</t>
  </si>
  <si>
    <t>A1</t>
  </si>
  <si>
    <t>A2</t>
  </si>
  <si>
    <t>A3</t>
  </si>
  <si>
    <t>A4</t>
  </si>
  <si>
    <t>A5</t>
  </si>
  <si>
    <t>Normalisasi (r_ij = x'/sqrt(sum(x'^2)))</t>
  </si>
  <si>
    <t>Bobot Normalisasi</t>
  </si>
  <si>
    <t>Normalisasi Tertimbang (v_ij = w_j * r_ij)</t>
  </si>
  <si>
    <t>Hasil Akhir (MOORA)</t>
  </si>
  <si>
    <t>ΣCost</t>
  </si>
  <si>
    <t>Y</t>
  </si>
  <si>
    <t>Ranking</t>
  </si>
  <si>
    <t>Jumlah</t>
  </si>
  <si>
    <t>akar</t>
  </si>
  <si>
    <t>x^2</t>
  </si>
  <si>
    <t>sum(x^2)</t>
  </si>
  <si>
    <t>sqrt(sum(x^2))</t>
  </si>
  <si>
    <t xml:space="preserve"> (r_ij = x'/sqrt(sum(x'^2)))</t>
  </si>
  <si>
    <t xml:space="preserve">Σbenefit </t>
  </si>
  <si>
    <t>(jumlah C1,C2,C3,C4,C6)</t>
  </si>
  <si>
    <t>Benefit-Cost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</si>
</sst>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1" xfId="0" applyNumberFormat="1" applyBorder="1"/>
    <xf numFmtId="0" fontId="2" fillId="0" borderId="0" xfId="0" applyFont="1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zoomScale="130" zoomScaleNormal="130" workbookViewId="0">
      <selection activeCell="H6" sqref="H6"/>
    </sheetView>
  </sheetViews>
  <sheetFormatPr defaultRowHeight="14.4" x14ac:dyDescent="0.55000000000000004"/>
  <cols>
    <col min="2" max="2" width="9.578125" bestFit="1" customWidth="1"/>
    <col min="8" max="8" width="22.41796875" bestFit="1" customWidth="1"/>
    <col min="9" max="9" width="9.578125" bestFit="1" customWidth="1"/>
    <col min="10" max="10" width="12.15625" bestFit="1" customWidth="1"/>
    <col min="11" max="15" width="9.578125" bestFit="1" customWidth="1"/>
  </cols>
  <sheetData>
    <row r="1" spans="1:15" x14ac:dyDescent="0.55000000000000004">
      <c r="A1" s="1" t="s">
        <v>0</v>
      </c>
      <c r="B1" s="1"/>
      <c r="C1" s="1"/>
      <c r="D1" s="1"/>
      <c r="E1" s="1"/>
      <c r="F1" s="1"/>
      <c r="G1" s="1"/>
    </row>
    <row r="2" spans="1:15" x14ac:dyDescent="0.5500000000000000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15" x14ac:dyDescent="0.55000000000000004">
      <c r="A3" s="2" t="s">
        <v>8</v>
      </c>
      <c r="B3" s="2">
        <v>4</v>
      </c>
      <c r="C3" s="2">
        <v>3</v>
      </c>
      <c r="D3" s="2">
        <v>1</v>
      </c>
      <c r="E3" s="2">
        <v>3</v>
      </c>
      <c r="F3" s="2">
        <v>2</v>
      </c>
      <c r="G3" s="2">
        <v>3</v>
      </c>
    </row>
    <row r="4" spans="1:15" x14ac:dyDescent="0.55000000000000004">
      <c r="A4" s="2" t="s">
        <v>9</v>
      </c>
      <c r="B4" s="2">
        <v>3</v>
      </c>
      <c r="C4" s="2">
        <v>4</v>
      </c>
      <c r="D4" s="2">
        <v>4</v>
      </c>
      <c r="E4" s="2">
        <v>2</v>
      </c>
      <c r="F4" s="2">
        <v>4</v>
      </c>
      <c r="G4" s="2">
        <v>3</v>
      </c>
    </row>
    <row r="5" spans="1:15" x14ac:dyDescent="0.55000000000000004">
      <c r="A5" s="2" t="s">
        <v>10</v>
      </c>
      <c r="B5" s="2">
        <v>1</v>
      </c>
      <c r="C5" s="2">
        <v>4</v>
      </c>
      <c r="D5" s="2">
        <v>4</v>
      </c>
      <c r="E5" s="2">
        <v>4</v>
      </c>
      <c r="F5" s="2">
        <v>4</v>
      </c>
      <c r="G5" s="2">
        <v>1</v>
      </c>
    </row>
    <row r="6" spans="1:15" x14ac:dyDescent="0.55000000000000004">
      <c r="A6" s="2" t="s">
        <v>11</v>
      </c>
      <c r="B6" s="2">
        <v>2</v>
      </c>
      <c r="C6" s="2">
        <v>1</v>
      </c>
      <c r="D6" s="2">
        <v>1</v>
      </c>
      <c r="E6" s="2">
        <v>2</v>
      </c>
      <c r="F6" s="2">
        <v>1</v>
      </c>
      <c r="G6" s="2">
        <v>4</v>
      </c>
    </row>
    <row r="7" spans="1:15" x14ac:dyDescent="0.55000000000000004">
      <c r="A7" s="2" t="s">
        <v>12</v>
      </c>
      <c r="B7" s="2">
        <v>4</v>
      </c>
      <c r="C7" s="2">
        <v>2</v>
      </c>
      <c r="D7" s="2">
        <v>4</v>
      </c>
      <c r="E7" s="2">
        <v>2</v>
      </c>
      <c r="F7" s="2">
        <v>3</v>
      </c>
      <c r="G7" s="2">
        <v>4</v>
      </c>
    </row>
    <row r="10" spans="1:15" x14ac:dyDescent="0.55000000000000004">
      <c r="A10" s="4" t="s">
        <v>13</v>
      </c>
    </row>
    <row r="11" spans="1:15" x14ac:dyDescent="0.55000000000000004">
      <c r="A11" s="10" t="s">
        <v>22</v>
      </c>
      <c r="B11" s="10"/>
      <c r="C11" s="10"/>
      <c r="D11" s="10"/>
      <c r="E11" s="10"/>
      <c r="F11" s="10"/>
      <c r="G11" s="10"/>
      <c r="I11" s="13" t="s">
        <v>25</v>
      </c>
      <c r="J11" s="13"/>
      <c r="K11" s="13"/>
      <c r="L11" s="13"/>
      <c r="M11" s="13"/>
      <c r="N11" s="13"/>
      <c r="O11" s="13"/>
    </row>
    <row r="12" spans="1:15" x14ac:dyDescent="0.55000000000000004">
      <c r="A12" s="2" t="s">
        <v>1</v>
      </c>
      <c r="B12" s="2" t="s">
        <v>2</v>
      </c>
      <c r="C12" s="2" t="s">
        <v>3</v>
      </c>
      <c r="D12" s="2" t="s">
        <v>4</v>
      </c>
      <c r="E12" s="2" t="s">
        <v>5</v>
      </c>
      <c r="F12" s="2" t="s">
        <v>6</v>
      </c>
      <c r="G12" s="2" t="s">
        <v>7</v>
      </c>
      <c r="I12" s="2" t="s">
        <v>1</v>
      </c>
      <c r="J12" s="2" t="s">
        <v>2</v>
      </c>
      <c r="K12" s="2" t="s">
        <v>3</v>
      </c>
      <c r="L12" s="2" t="s">
        <v>4</v>
      </c>
      <c r="M12" s="2" t="s">
        <v>5</v>
      </c>
      <c r="N12" s="2" t="s">
        <v>6</v>
      </c>
      <c r="O12" s="2" t="s">
        <v>7</v>
      </c>
    </row>
    <row r="13" spans="1:15" x14ac:dyDescent="0.55000000000000004">
      <c r="A13" s="2" t="s">
        <v>8</v>
      </c>
      <c r="B13" s="2">
        <f>B3^2</f>
        <v>16</v>
      </c>
      <c r="C13" s="2">
        <f t="shared" ref="B13:G13" si="0">C3^2</f>
        <v>9</v>
      </c>
      <c r="D13" s="2">
        <f t="shared" si="0"/>
        <v>1</v>
      </c>
      <c r="E13" s="2">
        <f t="shared" si="0"/>
        <v>9</v>
      </c>
      <c r="F13" s="2">
        <f t="shared" si="0"/>
        <v>4</v>
      </c>
      <c r="G13" s="2">
        <f t="shared" si="0"/>
        <v>9</v>
      </c>
      <c r="I13" s="2" t="s">
        <v>8</v>
      </c>
      <c r="J13" s="2">
        <f>B3/$B$21</f>
        <v>0.58976782461958854</v>
      </c>
      <c r="K13" s="2">
        <f>C3/$C$21</f>
        <v>0.44232586846469141</v>
      </c>
      <c r="L13" s="2">
        <f>D3/$D$21</f>
        <v>0.1414213562373095</v>
      </c>
      <c r="M13" s="2">
        <f>E3/$E$21</f>
        <v>0.49319696191607187</v>
      </c>
      <c r="N13" s="2">
        <f>F3/$F$21</f>
        <v>0.29488391230979427</v>
      </c>
      <c r="O13" s="2">
        <f>G3/$G$21</f>
        <v>0.42008402520840293</v>
      </c>
    </row>
    <row r="14" spans="1:15" x14ac:dyDescent="0.55000000000000004">
      <c r="A14" s="2" t="s">
        <v>9</v>
      </c>
      <c r="B14" s="2">
        <f t="shared" ref="B14:G17" si="1">B4^2</f>
        <v>9</v>
      </c>
      <c r="C14" s="2">
        <f t="shared" si="1"/>
        <v>16</v>
      </c>
      <c r="D14" s="2">
        <f t="shared" si="1"/>
        <v>16</v>
      </c>
      <c r="E14" s="2">
        <f t="shared" si="1"/>
        <v>4</v>
      </c>
      <c r="F14" s="2">
        <f t="shared" si="1"/>
        <v>16</v>
      </c>
      <c r="G14" s="2">
        <f t="shared" si="1"/>
        <v>9</v>
      </c>
      <c r="I14" s="2" t="s">
        <v>9</v>
      </c>
      <c r="J14" s="2">
        <f t="shared" ref="J14:J17" si="2">B4/$B$21</f>
        <v>0.44232586846469141</v>
      </c>
      <c r="K14" s="2">
        <f t="shared" ref="K14:K16" si="3">C4/$C$21</f>
        <v>0.58976782461958854</v>
      </c>
      <c r="L14" s="2">
        <f t="shared" ref="L14:L17" si="4">D4/$D$21</f>
        <v>0.56568542494923801</v>
      </c>
      <c r="M14" s="2">
        <f t="shared" ref="M14:M17" si="5">E4/$E$21</f>
        <v>0.32879797461071458</v>
      </c>
      <c r="N14" s="2">
        <f t="shared" ref="N14:N17" si="6">F4/$F$21</f>
        <v>0.58976782461958854</v>
      </c>
      <c r="O14" s="2">
        <f t="shared" ref="O14:O17" si="7">G4/$G$21</f>
        <v>0.42008402520840293</v>
      </c>
    </row>
    <row r="15" spans="1:15" x14ac:dyDescent="0.55000000000000004">
      <c r="A15" s="2" t="s">
        <v>10</v>
      </c>
      <c r="B15" s="2">
        <f t="shared" si="1"/>
        <v>1</v>
      </c>
      <c r="C15" s="2">
        <f t="shared" si="1"/>
        <v>16</v>
      </c>
      <c r="D15" s="2">
        <f t="shared" si="1"/>
        <v>16</v>
      </c>
      <c r="E15" s="2">
        <f t="shared" si="1"/>
        <v>16</v>
      </c>
      <c r="F15" s="2">
        <f t="shared" si="1"/>
        <v>16</v>
      </c>
      <c r="G15" s="2">
        <f t="shared" si="1"/>
        <v>1</v>
      </c>
      <c r="I15" s="2" t="s">
        <v>10</v>
      </c>
      <c r="J15" s="2">
        <f t="shared" si="2"/>
        <v>0.14744195615489714</v>
      </c>
      <c r="K15" s="2">
        <f t="shared" si="3"/>
        <v>0.58976782461958854</v>
      </c>
      <c r="L15" s="2">
        <f t="shared" si="4"/>
        <v>0.56568542494923801</v>
      </c>
      <c r="M15" s="2">
        <f t="shared" si="5"/>
        <v>0.65759594922142917</v>
      </c>
      <c r="N15" s="2">
        <f t="shared" si="6"/>
        <v>0.58976782461958854</v>
      </c>
      <c r="O15" s="2">
        <f t="shared" si="7"/>
        <v>0.14002800840280097</v>
      </c>
    </row>
    <row r="16" spans="1:15" x14ac:dyDescent="0.55000000000000004">
      <c r="A16" s="2" t="s">
        <v>11</v>
      </c>
      <c r="B16" s="2">
        <f t="shared" si="1"/>
        <v>4</v>
      </c>
      <c r="C16" s="2">
        <f t="shared" si="1"/>
        <v>1</v>
      </c>
      <c r="D16" s="2">
        <f t="shared" si="1"/>
        <v>1</v>
      </c>
      <c r="E16" s="2">
        <f t="shared" si="1"/>
        <v>4</v>
      </c>
      <c r="F16" s="2">
        <f t="shared" si="1"/>
        <v>1</v>
      </c>
      <c r="G16" s="2">
        <f t="shared" si="1"/>
        <v>16</v>
      </c>
      <c r="I16" s="2" t="s">
        <v>11</v>
      </c>
      <c r="J16" s="2">
        <f t="shared" si="2"/>
        <v>0.29488391230979427</v>
      </c>
      <c r="K16" s="2">
        <f t="shared" si="3"/>
        <v>0.14744195615489714</v>
      </c>
      <c r="L16" s="2">
        <f t="shared" si="4"/>
        <v>0.1414213562373095</v>
      </c>
      <c r="M16" s="2">
        <f t="shared" si="5"/>
        <v>0.32879797461071458</v>
      </c>
      <c r="N16" s="2">
        <f t="shared" si="6"/>
        <v>0.14744195615489714</v>
      </c>
      <c r="O16" s="2">
        <f t="shared" si="7"/>
        <v>0.56011203361120387</v>
      </c>
    </row>
    <row r="17" spans="1:15" x14ac:dyDescent="0.55000000000000004">
      <c r="A17" s="2" t="s">
        <v>12</v>
      </c>
      <c r="B17" s="2">
        <f t="shared" si="1"/>
        <v>16</v>
      </c>
      <c r="C17" s="2">
        <f t="shared" si="1"/>
        <v>4</v>
      </c>
      <c r="D17" s="2">
        <f t="shared" si="1"/>
        <v>16</v>
      </c>
      <c r="E17" s="2">
        <f t="shared" si="1"/>
        <v>4</v>
      </c>
      <c r="F17" s="2">
        <f t="shared" si="1"/>
        <v>9</v>
      </c>
      <c r="G17" s="2">
        <f t="shared" si="1"/>
        <v>16</v>
      </c>
      <c r="I17" s="2" t="s">
        <v>12</v>
      </c>
      <c r="J17" s="2">
        <f t="shared" si="2"/>
        <v>0.58976782461958854</v>
      </c>
      <c r="K17" s="2">
        <f>C7/$C$21</f>
        <v>0.29488391230979427</v>
      </c>
      <c r="L17" s="2">
        <f t="shared" si="4"/>
        <v>0.56568542494923801</v>
      </c>
      <c r="M17" s="2">
        <f t="shared" si="5"/>
        <v>0.32879797461071458</v>
      </c>
      <c r="N17" s="2">
        <f t="shared" si="6"/>
        <v>0.44232586846469141</v>
      </c>
      <c r="O17" s="2">
        <f t="shared" si="7"/>
        <v>0.56011203361120387</v>
      </c>
    </row>
    <row r="18" spans="1:15" x14ac:dyDescent="0.55000000000000004">
      <c r="A18" s="11" t="s">
        <v>23</v>
      </c>
      <c r="B18" s="11"/>
      <c r="C18" s="11"/>
      <c r="D18" s="11"/>
      <c r="E18" s="11"/>
      <c r="F18" s="11"/>
      <c r="G18" s="11"/>
    </row>
    <row r="19" spans="1:15" x14ac:dyDescent="0.55000000000000004">
      <c r="A19" s="2" t="s">
        <v>20</v>
      </c>
      <c r="B19" s="2">
        <f t="shared" ref="B19:G19" si="8">SUM(B13:B17)</f>
        <v>46</v>
      </c>
      <c r="C19" s="2">
        <f t="shared" si="8"/>
        <v>46</v>
      </c>
      <c r="D19" s="2">
        <f t="shared" si="8"/>
        <v>50</v>
      </c>
      <c r="E19" s="2">
        <f t="shared" si="8"/>
        <v>37</v>
      </c>
      <c r="F19" s="2">
        <f t="shared" si="8"/>
        <v>46</v>
      </c>
      <c r="G19" s="2">
        <f t="shared" si="8"/>
        <v>51</v>
      </c>
      <c r="I19" s="2" t="s">
        <v>1</v>
      </c>
      <c r="J19" s="2" t="s">
        <v>2</v>
      </c>
      <c r="K19" s="2" t="s">
        <v>3</v>
      </c>
      <c r="L19" s="2" t="s">
        <v>4</v>
      </c>
      <c r="M19" s="2" t="s">
        <v>5</v>
      </c>
      <c r="N19" s="2" t="s">
        <v>6</v>
      </c>
      <c r="O19" s="2" t="s">
        <v>7</v>
      </c>
    </row>
    <row r="20" spans="1:15" x14ac:dyDescent="0.55000000000000004">
      <c r="A20" s="12" t="s">
        <v>24</v>
      </c>
      <c r="B20" s="11"/>
      <c r="C20" s="11"/>
      <c r="D20" s="11"/>
      <c r="E20" s="11"/>
      <c r="F20" s="11"/>
      <c r="G20" s="11"/>
      <c r="I20" s="2" t="s">
        <v>8</v>
      </c>
      <c r="J20" s="3">
        <f>J13</f>
        <v>0.58976782461958854</v>
      </c>
      <c r="K20" s="3">
        <f>K13</f>
        <v>0.44232586846469141</v>
      </c>
      <c r="L20" s="3">
        <f t="shared" ref="K20:O20" si="9">L13</f>
        <v>0.1414213562373095</v>
      </c>
      <c r="M20" s="3">
        <f t="shared" si="9"/>
        <v>0.49319696191607187</v>
      </c>
      <c r="N20" s="3">
        <f t="shared" si="9"/>
        <v>0.29488391230979427</v>
      </c>
      <c r="O20" s="3">
        <f t="shared" si="9"/>
        <v>0.42008402520840293</v>
      </c>
    </row>
    <row r="21" spans="1:15" x14ac:dyDescent="0.55000000000000004">
      <c r="A21" s="2" t="s">
        <v>21</v>
      </c>
      <c r="B21" s="3">
        <f>SQRT(B19)</f>
        <v>6.7823299831252681</v>
      </c>
      <c r="C21" s="3">
        <f t="shared" ref="C21:G21" si="10">SQRT(C19)</f>
        <v>6.7823299831252681</v>
      </c>
      <c r="D21" s="3">
        <f t="shared" si="10"/>
        <v>7.0710678118654755</v>
      </c>
      <c r="E21" s="3">
        <f t="shared" si="10"/>
        <v>6.0827625302982193</v>
      </c>
      <c r="F21" s="3">
        <f t="shared" si="10"/>
        <v>6.7823299831252681</v>
      </c>
      <c r="G21" s="3">
        <f>SQRT(G19)</f>
        <v>7.1414284285428504</v>
      </c>
      <c r="I21" s="2" t="s">
        <v>9</v>
      </c>
      <c r="J21" s="3">
        <f t="shared" ref="J21:O24" si="11">J14</f>
        <v>0.44232586846469141</v>
      </c>
      <c r="K21" s="3">
        <f>K14</f>
        <v>0.58976782461958854</v>
      </c>
      <c r="L21" s="3">
        <f t="shared" si="11"/>
        <v>0.56568542494923801</v>
      </c>
      <c r="M21" s="3">
        <f t="shared" si="11"/>
        <v>0.32879797461071458</v>
      </c>
      <c r="N21" s="3">
        <f t="shared" si="11"/>
        <v>0.58976782461958854</v>
      </c>
      <c r="O21" s="3">
        <f t="shared" si="11"/>
        <v>0.42008402520840293</v>
      </c>
    </row>
    <row r="22" spans="1:15" x14ac:dyDescent="0.55000000000000004">
      <c r="I22" s="2" t="s">
        <v>10</v>
      </c>
      <c r="J22" s="3">
        <f t="shared" si="11"/>
        <v>0.14744195615489714</v>
      </c>
      <c r="K22" s="3">
        <f t="shared" si="11"/>
        <v>0.58976782461958854</v>
      </c>
      <c r="L22" s="3">
        <f t="shared" si="11"/>
        <v>0.56568542494923801</v>
      </c>
      <c r="M22" s="3">
        <f t="shared" si="11"/>
        <v>0.65759594922142917</v>
      </c>
      <c r="N22" s="3">
        <f t="shared" si="11"/>
        <v>0.58976782461958854</v>
      </c>
      <c r="O22" s="3">
        <f t="shared" si="11"/>
        <v>0.14002800840280097</v>
      </c>
    </row>
    <row r="23" spans="1:15" x14ac:dyDescent="0.55000000000000004">
      <c r="I23" s="2" t="s">
        <v>11</v>
      </c>
      <c r="J23" s="3">
        <f t="shared" si="11"/>
        <v>0.29488391230979427</v>
      </c>
      <c r="K23" s="3">
        <f t="shared" si="11"/>
        <v>0.14744195615489714</v>
      </c>
      <c r="L23" s="3">
        <f t="shared" si="11"/>
        <v>0.1414213562373095</v>
      </c>
      <c r="M23" s="3">
        <f t="shared" si="11"/>
        <v>0.32879797461071458</v>
      </c>
      <c r="N23" s="3">
        <f t="shared" si="11"/>
        <v>0.14744195615489714</v>
      </c>
      <c r="O23" s="3">
        <f t="shared" si="11"/>
        <v>0.56011203361120387</v>
      </c>
    </row>
    <row r="24" spans="1:15" x14ac:dyDescent="0.55000000000000004">
      <c r="I24" s="2" t="s">
        <v>12</v>
      </c>
      <c r="J24" s="3">
        <f t="shared" si="11"/>
        <v>0.58976782461958854</v>
      </c>
      <c r="K24" s="3">
        <f t="shared" si="11"/>
        <v>0.29488391230979427</v>
      </c>
      <c r="L24" s="3">
        <f t="shared" si="11"/>
        <v>0.56568542494923801</v>
      </c>
      <c r="M24" s="3">
        <f t="shared" si="11"/>
        <v>0.32879797461071458</v>
      </c>
      <c r="N24" s="3">
        <f t="shared" si="11"/>
        <v>0.44232586846469141</v>
      </c>
      <c r="O24" s="3">
        <f t="shared" si="11"/>
        <v>0.56011203361120387</v>
      </c>
    </row>
    <row r="26" spans="1:15" x14ac:dyDescent="0.55000000000000004">
      <c r="A26" s="4" t="s">
        <v>14</v>
      </c>
    </row>
    <row r="27" spans="1:15" x14ac:dyDescent="0.55000000000000004">
      <c r="A27" s="2" t="s">
        <v>2</v>
      </c>
      <c r="B27" s="2">
        <v>0.3</v>
      </c>
    </row>
    <row r="28" spans="1:15" x14ac:dyDescent="0.55000000000000004">
      <c r="A28" s="2" t="s">
        <v>3</v>
      </c>
      <c r="B28" s="2">
        <v>0.15</v>
      </c>
    </row>
    <row r="29" spans="1:15" x14ac:dyDescent="0.55000000000000004">
      <c r="A29" s="2" t="s">
        <v>4</v>
      </c>
      <c r="B29" s="2">
        <v>0.15</v>
      </c>
    </row>
    <row r="30" spans="1:15" x14ac:dyDescent="0.55000000000000004">
      <c r="A30" s="2" t="s">
        <v>5</v>
      </c>
      <c r="B30" s="2">
        <v>0.15</v>
      </c>
    </row>
    <row r="31" spans="1:15" x14ac:dyDescent="0.55000000000000004">
      <c r="A31" s="2" t="s">
        <v>6</v>
      </c>
      <c r="B31" s="2">
        <v>0.1</v>
      </c>
    </row>
    <row r="32" spans="1:15" x14ac:dyDescent="0.55000000000000004">
      <c r="A32" s="2" t="s">
        <v>7</v>
      </c>
      <c r="B32" s="2">
        <v>0.15</v>
      </c>
    </row>
    <row r="33" spans="1:11" x14ac:dyDescent="0.55000000000000004">
      <c r="B33">
        <f>SUM(B27:B32)</f>
        <v>1</v>
      </c>
    </row>
    <row r="35" spans="1:11" x14ac:dyDescent="0.55000000000000004">
      <c r="A35" s="4" t="s">
        <v>15</v>
      </c>
    </row>
    <row r="36" spans="1:11" x14ac:dyDescent="0.55000000000000004">
      <c r="A36" s="2" t="s">
        <v>1</v>
      </c>
      <c r="B36" s="2" t="s">
        <v>2</v>
      </c>
      <c r="C36" s="2" t="s">
        <v>3</v>
      </c>
      <c r="D36" s="2" t="s">
        <v>4</v>
      </c>
      <c r="E36" s="2" t="s">
        <v>5</v>
      </c>
      <c r="F36" s="2" t="s">
        <v>6</v>
      </c>
      <c r="G36" s="2" t="s">
        <v>7</v>
      </c>
    </row>
    <row r="37" spans="1:11" x14ac:dyDescent="0.55000000000000004">
      <c r="A37" s="2" t="s">
        <v>8</v>
      </c>
      <c r="B37" s="3">
        <f>J20*$B$27</f>
        <v>0.17693034738587657</v>
      </c>
      <c r="C37" s="2">
        <f>K20*$B$28</f>
        <v>6.6348880269703703E-2</v>
      </c>
      <c r="D37" s="2">
        <f>L20*$B$29</f>
        <v>2.1213203435596423E-2</v>
      </c>
      <c r="E37" s="3">
        <f>M20*$B$30</f>
        <v>7.3979544287410784E-2</v>
      </c>
      <c r="F37" s="2">
        <f>N20*$B$31</f>
        <v>2.9488391230979429E-2</v>
      </c>
      <c r="G37" s="2">
        <f>O20*$B$32</f>
        <v>6.3012603781260432E-2</v>
      </c>
      <c r="H37" s="9"/>
    </row>
    <row r="38" spans="1:11" x14ac:dyDescent="0.55000000000000004">
      <c r="A38" s="2" t="s">
        <v>9</v>
      </c>
      <c r="B38" s="3">
        <f t="shared" ref="B38:B41" si="12">J21*$B$27</f>
        <v>0.13269776053940741</v>
      </c>
      <c r="C38" s="2">
        <f t="shared" ref="C38:C41" si="13">K21*$B$28</f>
        <v>8.8465173692938284E-2</v>
      </c>
      <c r="D38" s="2">
        <f t="shared" ref="D38:D41" si="14">L21*$B$29</f>
        <v>8.4852813742385694E-2</v>
      </c>
      <c r="E38" s="3">
        <f t="shared" ref="E38:E41" si="15">M21*$B$30</f>
        <v>4.9319696191607185E-2</v>
      </c>
      <c r="F38" s="2">
        <f t="shared" ref="F38:F41" si="16">N21*$B$31</f>
        <v>5.8976782461958858E-2</v>
      </c>
      <c r="G38" s="2">
        <f t="shared" ref="G38:G41" si="17">O21*$B$32</f>
        <v>6.3012603781260432E-2</v>
      </c>
    </row>
    <row r="39" spans="1:11" x14ac:dyDescent="0.55000000000000004">
      <c r="A39" s="2" t="s">
        <v>10</v>
      </c>
      <c r="B39" s="3">
        <f t="shared" si="12"/>
        <v>4.4232586846469142E-2</v>
      </c>
      <c r="C39" s="2">
        <f t="shared" si="13"/>
        <v>8.8465173692938284E-2</v>
      </c>
      <c r="D39" s="2">
        <f t="shared" si="14"/>
        <v>8.4852813742385694E-2</v>
      </c>
      <c r="E39" s="2">
        <f t="shared" si="15"/>
        <v>9.8639392383214369E-2</v>
      </c>
      <c r="F39" s="2">
        <f t="shared" si="16"/>
        <v>5.8976782461958858E-2</v>
      </c>
      <c r="G39" s="2">
        <f t="shared" si="17"/>
        <v>2.1004201260420144E-2</v>
      </c>
    </row>
    <row r="40" spans="1:11" x14ac:dyDescent="0.55000000000000004">
      <c r="A40" s="2" t="s">
        <v>11</v>
      </c>
      <c r="B40" s="3">
        <f t="shared" si="12"/>
        <v>8.8465173692938284E-2</v>
      </c>
      <c r="C40" s="2">
        <f t="shared" si="13"/>
        <v>2.2116293423234571E-2</v>
      </c>
      <c r="D40" s="2">
        <f t="shared" si="14"/>
        <v>2.1213203435596423E-2</v>
      </c>
      <c r="E40" s="3">
        <f t="shared" si="15"/>
        <v>4.9319696191607185E-2</v>
      </c>
      <c r="F40" s="2">
        <f t="shared" si="16"/>
        <v>1.4744195615489715E-2</v>
      </c>
      <c r="G40" s="2">
        <f t="shared" si="17"/>
        <v>8.4016805041680576E-2</v>
      </c>
    </row>
    <row r="41" spans="1:11" x14ac:dyDescent="0.55000000000000004">
      <c r="A41" s="2" t="s">
        <v>12</v>
      </c>
      <c r="B41" s="3">
        <f t="shared" si="12"/>
        <v>0.17693034738587657</v>
      </c>
      <c r="C41" s="2">
        <f t="shared" si="13"/>
        <v>4.4232586846469142E-2</v>
      </c>
      <c r="D41" s="2">
        <f t="shared" si="14"/>
        <v>8.4852813742385694E-2</v>
      </c>
      <c r="E41" s="3">
        <f t="shared" si="15"/>
        <v>4.9319696191607185E-2</v>
      </c>
      <c r="F41" s="2">
        <f t="shared" si="16"/>
        <v>4.4232586846469142E-2</v>
      </c>
      <c r="G41" s="2">
        <f t="shared" si="17"/>
        <v>8.4016805041680576E-2</v>
      </c>
    </row>
    <row r="43" spans="1:11" x14ac:dyDescent="0.55000000000000004">
      <c r="A43" t="s">
        <v>16</v>
      </c>
      <c r="H43" s="7" t="s">
        <v>27</v>
      </c>
      <c r="I43" s="8" t="s">
        <v>6</v>
      </c>
      <c r="J43" s="7" t="s">
        <v>28</v>
      </c>
    </row>
    <row r="44" spans="1:11" x14ac:dyDescent="0.55000000000000004">
      <c r="A44" s="2" t="s">
        <v>1</v>
      </c>
      <c r="B44" s="5" t="s">
        <v>2</v>
      </c>
      <c r="C44" s="5" t="s">
        <v>3</v>
      </c>
      <c r="D44" s="5" t="s">
        <v>4</v>
      </c>
      <c r="E44" s="5" t="s">
        <v>5</v>
      </c>
      <c r="F44" s="5" t="s">
        <v>6</v>
      </c>
      <c r="G44" s="5" t="s">
        <v>7</v>
      </c>
      <c r="H44" s="5" t="s">
        <v>26</v>
      </c>
      <c r="I44" s="5" t="s">
        <v>17</v>
      </c>
      <c r="J44" s="5" t="s">
        <v>18</v>
      </c>
      <c r="K44" s="5" t="s">
        <v>19</v>
      </c>
    </row>
    <row r="45" spans="1:11" x14ac:dyDescent="0.55000000000000004">
      <c r="A45" s="2" t="s">
        <v>8</v>
      </c>
      <c r="B45" s="6">
        <f>B37</f>
        <v>0.17693034738587657</v>
      </c>
      <c r="C45" s="6">
        <f t="shared" ref="C45:G45" si="18">C37</f>
        <v>6.6348880269703703E-2</v>
      </c>
      <c r="D45" s="6">
        <f t="shared" si="18"/>
        <v>2.1213203435596423E-2</v>
      </c>
      <c r="E45" s="6">
        <f t="shared" si="18"/>
        <v>7.3979544287410784E-2</v>
      </c>
      <c r="F45" s="6">
        <f t="shared" si="18"/>
        <v>2.9488391230979429E-2</v>
      </c>
      <c r="G45" s="6">
        <f t="shared" si="18"/>
        <v>6.3012603781260432E-2</v>
      </c>
      <c r="H45" s="6">
        <f>SUM(B45:E45,G45)</f>
        <v>0.40148457915984792</v>
      </c>
      <c r="I45" s="6">
        <f>F45</f>
        <v>2.9488391230979429E-2</v>
      </c>
      <c r="J45" s="6">
        <f>H45-I45</f>
        <v>0.37199618792886852</v>
      </c>
      <c r="K45" s="2">
        <f>RANK(J45,$J$45:$J$49,0)</f>
        <v>2</v>
      </c>
    </row>
    <row r="46" spans="1:11" x14ac:dyDescent="0.55000000000000004">
      <c r="A46" s="2" t="s">
        <v>9</v>
      </c>
      <c r="B46" s="6">
        <f t="shared" ref="B46:G49" si="19">B38</f>
        <v>0.13269776053940741</v>
      </c>
      <c r="C46" s="6">
        <f t="shared" si="19"/>
        <v>8.8465173692938284E-2</v>
      </c>
      <c r="D46" s="6">
        <f t="shared" si="19"/>
        <v>8.4852813742385694E-2</v>
      </c>
      <c r="E46" s="6">
        <f t="shared" si="19"/>
        <v>4.9319696191607185E-2</v>
      </c>
      <c r="F46" s="6">
        <f t="shared" si="19"/>
        <v>5.8976782461958858E-2</v>
      </c>
      <c r="G46" s="6">
        <f t="shared" si="19"/>
        <v>6.3012603781260432E-2</v>
      </c>
      <c r="H46" s="6">
        <f t="shared" ref="H46:H49" si="20">SUM(B46:E46,G46)</f>
        <v>0.418348047947599</v>
      </c>
      <c r="I46" s="6">
        <f t="shared" ref="I46:I49" si="21">F46</f>
        <v>5.8976782461958858E-2</v>
      </c>
      <c r="J46" s="6">
        <f t="shared" ref="J46:J49" si="22">H46-I46</f>
        <v>0.35937126548564013</v>
      </c>
      <c r="K46" s="2">
        <f t="shared" ref="K46:K49" si="23">RANK(J46,$J$45:$J$49,0)</f>
        <v>3</v>
      </c>
    </row>
    <row r="47" spans="1:11" x14ac:dyDescent="0.55000000000000004">
      <c r="A47" s="2" t="s">
        <v>10</v>
      </c>
      <c r="B47" s="6">
        <f t="shared" si="19"/>
        <v>4.4232586846469142E-2</v>
      </c>
      <c r="C47" s="6">
        <f t="shared" si="19"/>
        <v>8.8465173692938284E-2</v>
      </c>
      <c r="D47" s="6">
        <f t="shared" si="19"/>
        <v>8.4852813742385694E-2</v>
      </c>
      <c r="E47" s="6">
        <f t="shared" si="19"/>
        <v>9.8639392383214369E-2</v>
      </c>
      <c r="F47" s="6">
        <f t="shared" si="19"/>
        <v>5.8976782461958858E-2</v>
      </c>
      <c r="G47" s="6">
        <f t="shared" si="19"/>
        <v>2.1004201260420144E-2</v>
      </c>
      <c r="H47" s="6">
        <f t="shared" si="20"/>
        <v>0.33719416792542767</v>
      </c>
      <c r="I47" s="6">
        <f t="shared" si="21"/>
        <v>5.8976782461958858E-2</v>
      </c>
      <c r="J47" s="6">
        <f t="shared" si="22"/>
        <v>0.2782173854634688</v>
      </c>
      <c r="K47" s="2">
        <f t="shared" si="23"/>
        <v>4</v>
      </c>
    </row>
    <row r="48" spans="1:11" x14ac:dyDescent="0.55000000000000004">
      <c r="A48" s="2" t="s">
        <v>11</v>
      </c>
      <c r="B48" s="6">
        <f t="shared" si="19"/>
        <v>8.8465173692938284E-2</v>
      </c>
      <c r="C48" s="6">
        <f t="shared" si="19"/>
        <v>2.2116293423234571E-2</v>
      </c>
      <c r="D48" s="6">
        <f t="shared" si="19"/>
        <v>2.1213203435596423E-2</v>
      </c>
      <c r="E48" s="6">
        <f t="shared" si="19"/>
        <v>4.9319696191607185E-2</v>
      </c>
      <c r="F48" s="6">
        <f t="shared" si="19"/>
        <v>1.4744195615489715E-2</v>
      </c>
      <c r="G48" s="6">
        <f t="shared" si="19"/>
        <v>8.4016805041680576E-2</v>
      </c>
      <c r="H48" s="6">
        <f t="shared" si="20"/>
        <v>0.26513117178505702</v>
      </c>
      <c r="I48" s="6">
        <f t="shared" si="21"/>
        <v>1.4744195615489715E-2</v>
      </c>
      <c r="J48" s="6">
        <f t="shared" si="22"/>
        <v>0.25038697616956729</v>
      </c>
      <c r="K48" s="2">
        <f t="shared" si="23"/>
        <v>5</v>
      </c>
    </row>
    <row r="49" spans="1:11" x14ac:dyDescent="0.55000000000000004">
      <c r="A49" s="2" t="s">
        <v>12</v>
      </c>
      <c r="B49" s="6">
        <f t="shared" si="19"/>
        <v>0.17693034738587657</v>
      </c>
      <c r="C49" s="6">
        <f t="shared" si="19"/>
        <v>4.4232586846469142E-2</v>
      </c>
      <c r="D49" s="6">
        <f t="shared" si="19"/>
        <v>8.4852813742385694E-2</v>
      </c>
      <c r="E49" s="6">
        <f t="shared" si="19"/>
        <v>4.9319696191607185E-2</v>
      </c>
      <c r="F49" s="6">
        <f t="shared" si="19"/>
        <v>4.4232586846469142E-2</v>
      </c>
      <c r="G49" s="6">
        <f t="shared" si="19"/>
        <v>8.4016805041680576E-2</v>
      </c>
      <c r="H49" s="6">
        <f t="shared" si="20"/>
        <v>0.43935224920801919</v>
      </c>
      <c r="I49" s="6">
        <f t="shared" si="21"/>
        <v>4.4232586846469142E-2</v>
      </c>
      <c r="J49" s="6">
        <f t="shared" si="22"/>
        <v>0.39511966236155005</v>
      </c>
      <c r="K49" s="2">
        <f t="shared" si="23"/>
        <v>1</v>
      </c>
    </row>
  </sheetData>
  <mergeCells count="4">
    <mergeCell ref="A11:G11"/>
    <mergeCell ref="A18:G18"/>
    <mergeCell ref="A20:G20"/>
    <mergeCell ref="I11:O11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MOORA_Calculation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2025-10-28T19:47:19Z</dcterms:created>
  <dcterms:modified xsi:type="dcterms:W3CDTF">2026-01-10T17:24:55Z</dcterms:modified>
</cp:coreProperties>
</file>